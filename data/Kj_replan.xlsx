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.underhaug/Desktop/Magien/"/>
    </mc:Choice>
  </mc:AlternateContent>
  <xr:revisionPtr revIDLastSave="0" documentId="13_ncr:1_{B2C2BF1B-4777-8C40-9520-47A7BF8A982C}" xr6:coauthVersionLast="47" xr6:coauthVersionMax="47" xr10:uidLastSave="{00000000-0000-0000-0000-000000000000}"/>
  <bookViews>
    <workbookView xWindow="0" yWindow="660" windowWidth="34560" windowHeight="19880" xr2:uid="{23F970F8-5A61-4772-AC4C-68E50DF2390B}"/>
  </bookViews>
  <sheets>
    <sheet name="2026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5" l="1"/>
  <c r="C42" i="5"/>
  <c r="C43" i="5"/>
  <c r="C44" i="5"/>
  <c r="B45" i="5" a="1"/>
  <c r="B45" i="5" s="1"/>
  <c r="C45" i="5" s="1"/>
  <c r="B2" i="5" a="1"/>
  <c r="B2" i="5" s="1"/>
  <c r="C2" i="5" s="1"/>
  <c r="B3" i="5" s="1" a="1"/>
  <c r="B3" i="5" s="1"/>
  <c r="C3" i="5" l="1"/>
  <c r="B4" i="5" l="1" a="1"/>
  <c r="B4" i="5" s="1"/>
  <c r="C4" i="5" s="1"/>
  <c r="B5" i="5" l="1" a="1"/>
  <c r="B5" i="5" s="1"/>
  <c r="C5" i="5" s="1"/>
  <c r="B6" i="5" s="1" a="1"/>
  <c r="B6" i="5" s="1"/>
  <c r="C6" i="5" s="1"/>
  <c r="B7" i="5" s="1" a="1"/>
  <c r="B7" i="5" s="1"/>
  <c r="C7" i="5" s="1"/>
  <c r="B8" i="5" s="1" a="1"/>
  <c r="B8" i="5" s="1"/>
  <c r="C8" i="5" l="1"/>
  <c r="B9" i="5" l="1" a="1"/>
  <c r="B9" i="5" s="1"/>
  <c r="C9" i="5" s="1"/>
  <c r="B10" i="5" l="1" a="1"/>
  <c r="B10" i="5" s="1"/>
  <c r="C10" i="5" s="1"/>
  <c r="B11" i="5" l="1" a="1"/>
  <c r="B11" i="5" s="1"/>
  <c r="C11" i="5" s="1"/>
  <c r="B12" i="5" s="1" a="1"/>
  <c r="B12" i="5" s="1"/>
  <c r="C12" i="5" s="1"/>
  <c r="B13" i="5" s="1" a="1"/>
  <c r="B13" i="5" s="1"/>
  <c r="C13" i="5" s="1"/>
  <c r="B14" i="5" s="1" a="1"/>
  <c r="B14" i="5" s="1"/>
  <c r="C14" i="5" s="1"/>
  <c r="B15" i="5" s="1" a="1"/>
  <c r="B15" i="5" s="1"/>
  <c r="C15" i="5" l="1"/>
  <c r="B16" i="5" s="1" a="1"/>
  <c r="B16" i="5" s="1"/>
  <c r="C16" i="5" l="1"/>
  <c r="B17" i="5" s="1" a="1"/>
  <c r="B17" i="5" s="1"/>
  <c r="C17" i="5" l="1"/>
  <c r="B18" i="5" l="1" a="1"/>
  <c r="B18" i="5" s="1"/>
  <c r="C18" i="5" s="1"/>
  <c r="B19" i="5" l="1" a="1"/>
  <c r="B19" i="5" s="1"/>
  <c r="C19" i="5" s="1"/>
  <c r="B20" i="5" l="1" a="1"/>
  <c r="B20" i="5" s="1"/>
  <c r="C20" i="5" s="1"/>
  <c r="B21" i="5" l="1" a="1"/>
  <c r="B21" i="5" s="1"/>
  <c r="C21" i="5" s="1"/>
  <c r="B22" i="5" l="1" a="1"/>
  <c r="B22" i="5" s="1"/>
  <c r="C22" i="5" s="1"/>
  <c r="B23" i="5" s="1" a="1"/>
  <c r="B23" i="5" s="1"/>
  <c r="C23" i="5" s="1"/>
  <c r="B24" i="5" s="1" a="1"/>
  <c r="B24" i="5" s="1"/>
  <c r="C24" i="5" s="1"/>
  <c r="B25" i="5" s="1" a="1"/>
  <c r="B25" i="5" s="1"/>
  <c r="C25" i="5" s="1"/>
  <c r="B26" i="5" s="1" a="1"/>
  <c r="B26" i="5" s="1"/>
  <c r="C26" i="5" s="1"/>
  <c r="B27" i="5" s="1" a="1"/>
  <c r="B27" i="5" s="1"/>
  <c r="C27" i="5" s="1"/>
  <c r="B28" i="5" s="1" a="1"/>
  <c r="B28" i="5" s="1"/>
  <c r="C28" i="5" l="1"/>
  <c r="B29" i="5" l="1" a="1"/>
  <c r="B29" i="5" s="1"/>
  <c r="C29" i="5" s="1"/>
  <c r="B30" i="5" l="1" a="1"/>
  <c r="B30" i="5" s="1"/>
  <c r="C30" i="5" s="1"/>
  <c r="B31" i="5" l="1" a="1"/>
  <c r="B31" i="5" s="1"/>
  <c r="C31" i="5" s="1"/>
  <c r="B32" i="5" s="1" a="1"/>
  <c r="B32" i="5" s="1"/>
  <c r="C32" i="5" s="1"/>
  <c r="B33" i="5" s="1" a="1"/>
  <c r="B33" i="5" s="1"/>
  <c r="C33" i="5" s="1"/>
  <c r="B34" i="5" l="1" a="1"/>
  <c r="B34" i="5" s="1"/>
  <c r="C34" i="5" s="1"/>
  <c r="B35" i="5" l="1" a="1"/>
  <c r="B35" i="5" s="1"/>
  <c r="C35" i="5" s="1"/>
  <c r="B36" i="5" s="1" a="1"/>
  <c r="B36" i="5" s="1"/>
  <c r="C36" i="5" s="1"/>
  <c r="B37" i="5" l="1" a="1"/>
  <c r="B37" i="5" s="1"/>
  <c r="C37" i="5" s="1"/>
  <c r="C38" i="5" s="1"/>
  <c r="B39" i="5" s="1" a="1"/>
  <c r="B39" i="5" s="1"/>
  <c r="C39" i="5" s="1"/>
  <c r="C4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<sst xmlns="http://schemas.openxmlformats.org/spreadsheetml/2006/main" count="165" uniqueCount="101">
  <si>
    <t>Start</t>
  </si>
  <si>
    <t>Slutt</t>
  </si>
  <si>
    <t>Varighet</t>
  </si>
  <si>
    <t>Lyd</t>
  </si>
  <si>
    <t>Kommentar</t>
  </si>
  <si>
    <t>Pause</t>
  </si>
  <si>
    <t>Åpningsfilm</t>
  </si>
  <si>
    <t>00:40</t>
  </si>
  <si>
    <t>00:20</t>
  </si>
  <si>
    <t>00:03</t>
  </si>
  <si>
    <t>00:01</t>
  </si>
  <si>
    <t>Velkommen med Skavlan og Bjarte</t>
  </si>
  <si>
    <t>00:10</t>
  </si>
  <si>
    <t>Skavlan introduserer Märtha Rehnberg</t>
  </si>
  <si>
    <t>Märtha Rehnberg presentasjon</t>
  </si>
  <si>
    <t>00:47</t>
  </si>
  <si>
    <t>Kan strammes noe ved behov</t>
  </si>
  <si>
    <t>00:05</t>
  </si>
  <si>
    <t>00:15</t>
  </si>
  <si>
    <t>Kan strammes ved behov</t>
  </si>
  <si>
    <t>Skavlan prat med Hedné</t>
  </si>
  <si>
    <t>Post</t>
  </si>
  <si>
    <t>Dørene til Konserthuset åpner (Foaje)</t>
  </si>
  <si>
    <t>Dørene til Zetlitz åpner</t>
  </si>
  <si>
    <t>Lys</t>
  </si>
  <si>
    <t>AV</t>
  </si>
  <si>
    <t>Bakgrunnsmusikk</t>
  </si>
  <si>
    <t>Inngangslys</t>
  </si>
  <si>
    <t>Countdown</t>
  </si>
  <si>
    <t>Fem minutters countdown</t>
  </si>
  <si>
    <t>Lyd fra AV</t>
  </si>
  <si>
    <t>Dempet belysning</t>
  </si>
  <si>
    <t>2 stk mygg</t>
  </si>
  <si>
    <t>Skavlan bruker samme mygg hele dagen</t>
  </si>
  <si>
    <t>1 stk mygg</t>
  </si>
  <si>
    <t>01_Keynote_Märtha_Rehnberg.pptx</t>
  </si>
  <si>
    <t>Magien bakgrunn</t>
  </si>
  <si>
    <t>Skavlan introduserer Jone Joakimsen og pause</t>
  </si>
  <si>
    <t>5 min countdown kl 14:30</t>
  </si>
  <si>
    <t>Bumper - Jone Voll Joakimsen</t>
  </si>
  <si>
    <t>Bumper - Märtha Rehnberg</t>
  </si>
  <si>
    <t>Jone klargjøres og får mygg</t>
  </si>
  <si>
    <t>02_Keynote_Jone_Voll_Joakimsen.pptx</t>
  </si>
  <si>
    <t>Skavlan intervjuer Märtha</t>
  </si>
  <si>
    <t>Skavlan Intervjuer Jone</t>
  </si>
  <si>
    <t>2 stk mygg, Per Ivar klargjøres og får mygg</t>
  </si>
  <si>
    <t>Bumper - Per Ivar Nerseth</t>
  </si>
  <si>
    <t>Skavlan introduserer  Per Ivar Nerseth</t>
  </si>
  <si>
    <t>Keynote - Jone Voll Joakimsen</t>
  </si>
  <si>
    <t>Keynote - Per Ivar Nerseth</t>
  </si>
  <si>
    <t>03_Keynote_Per_Ivar_Nerseth.pptx</t>
  </si>
  <si>
    <t>Per Ivar introduserer neste sesjon og pause</t>
  </si>
  <si>
    <t>To foredragsholdere klargjøres (2 stk mygg)</t>
  </si>
  <si>
    <t>5 min countdown kl 15:30</t>
  </si>
  <si>
    <t>01_Kundecase1_Stavanger_kommune.pptx</t>
  </si>
  <si>
    <t>2 stk mygg - Neste foredragsholdere klargjøres</t>
  </si>
  <si>
    <t>02_Kundecase2_ProCoSys_Equinor1.pptx</t>
  </si>
  <si>
    <t>Bumper - Stavanger Kommune</t>
  </si>
  <si>
    <t>Kundecase 1 - Stavanger kommune</t>
  </si>
  <si>
    <t>Bumper - Equinor: Procosys</t>
  </si>
  <si>
    <t>Kundecase 2 - Equinor:  Procosys</t>
  </si>
  <si>
    <t>Kundecase 3 - Equinor: Avert</t>
  </si>
  <si>
    <t>Bumper - Equinor: Avert</t>
  </si>
  <si>
    <t>03_Kundecase3_Avert_Equinor2.pptx</t>
  </si>
  <si>
    <t>Bumper - Aker BP</t>
  </si>
  <si>
    <t>Kundecase 4 - Aker BP</t>
  </si>
  <si>
    <t>04_Kundecase4_AkerBP.pptx</t>
  </si>
  <si>
    <t>Bumper - SUS</t>
  </si>
  <si>
    <t>Kundecase 5 - SUS</t>
  </si>
  <si>
    <t>2 stk mygg - Alle andre foredragsholdere klargjøres</t>
  </si>
  <si>
    <t>05_Kundecase5_SUS.pptx</t>
  </si>
  <si>
    <t>Sofaprat - Skavlan prat med foredragsholdere (kunder)</t>
  </si>
  <si>
    <t>6 stk mygg - Skavlan + 5 stk</t>
  </si>
  <si>
    <t>Skavlan introduserer Hedne og pause</t>
  </si>
  <si>
    <t>Hedne får mygg</t>
  </si>
  <si>
    <t>5 min countdown kl 17:30</t>
  </si>
  <si>
    <t>Bumper - Hedne</t>
  </si>
  <si>
    <t xml:space="preserve">Keynote - Hedne </t>
  </si>
  <si>
    <t>1 stk mygg, lyd fra scene PC</t>
  </si>
  <si>
    <t>Kjører egen presentasjon fra scenen</t>
  </si>
  <si>
    <t>1 stk mygg - Obs: Lyd fra AV (Film i presentasjon)</t>
  </si>
  <si>
    <t>Hedne takker Skavlan for dagen + et tryllenummer</t>
  </si>
  <si>
    <t>2 stk mygg + 1 stk håndholdt klar på scenen</t>
  </si>
  <si>
    <t>DAGSARRANGEMENT SLUTT - OMRIGG TIL KVELD</t>
  </si>
  <si>
    <t>Egen mygg med system han bruker hele kvelden</t>
  </si>
  <si>
    <t>Annie Torkilhildsen - Trapes fra satelitt</t>
  </si>
  <si>
    <t>Dørene åpnes - Hedne spiller folk inn i sal fra satelitt</t>
  </si>
  <si>
    <t>Lyd fra PC - Sam Smith: Fire on Fire</t>
  </si>
  <si>
    <t>Hedne - Bordbummer + nettverkslek fra hovedscene</t>
  </si>
  <si>
    <t>Lys hovedscene</t>
  </si>
  <si>
    <t>Lys satelitt</t>
  </si>
  <si>
    <t>Lys satelitt + luft</t>
  </si>
  <si>
    <t>25% salsbelysning</t>
  </si>
  <si>
    <t>Hedne - Resultat nettverkslek</t>
  </si>
  <si>
    <t>Deja Vu - Dans</t>
  </si>
  <si>
    <t>Lyd fra PC</t>
  </si>
  <si>
    <t>Hedne Psycho</t>
  </si>
  <si>
    <t>HipHop</t>
  </si>
  <si>
    <t>Lyd fra PC, Fløye og Mygg</t>
  </si>
  <si>
    <t>Crazy Trance</t>
  </si>
  <si>
    <t>Video fra Hende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</si>
</sst>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h:mm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top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8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hh:mm"/>
      <alignment horizontal="center" vertical="center" textRotation="0" wrapText="0" indent="0" justifyLastLine="0" shrinkToFit="0" readingOrder="0"/>
    </dxf>
    <dxf>
      <numFmt numFmtId="165" formatCode="hh:mm"/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EF3522-0A4A-2947-A07A-1CC6FBDD5039}" name="Kjoreplan2026" displayName="Kjoreplan2026" ref="A1:G45" totalsRowShown="0" headerRowDxfId="7">
  <autoFilter ref="A1:G45" xr:uid="{00EF3522-0A4A-2947-A07A-1CC6FBDD5039}"/>
  <tableColumns count="7">
    <tableColumn id="1" xr3:uid="{48836227-6D6F-604B-AC24-98F6B5DF9B83}" name="Post" dataDxfId="6"/>
    <tableColumn id="2" xr3:uid="{E2B392A7-C538-8943-9C4F-1FFE5B7206E3}" name="Start" dataDxfId="5">
      <calculatedColumnFormula array="1">IF(Kjoreplan2026[[#This Row],[Post]]="","",IF(ROW()=ROW(Kjoreplan2026[#Headers])+1,TIME(12,0,0),INDEX(C:C,ROW()-1)))</calculatedColumnFormula>
    </tableColumn>
    <tableColumn id="3" xr3:uid="{705AA4C5-CCB9-4D40-A03B-AFFF44D98418}" name="Slutt" dataDxfId="4">
      <calculatedColumnFormula>IF(OR(Kjoreplan2026[[#This Row],[Start]]="",Kjoreplan2026[[#This Row],[Varighet]]=""),"",Kjoreplan2026[[#This Row],[Start]]+Kjoreplan2026[[#This Row],[Varighet]])</calculatedColumnFormula>
    </tableColumn>
    <tableColumn id="4" xr3:uid="{23572DD9-1495-C041-AF12-5CD82A6D96AD}" name="Varighet" dataDxfId="3"/>
    <tableColumn id="6" xr3:uid="{FF98C001-2CD0-E74B-A666-B38746F1797B}" name="Lyd" dataDxfId="2"/>
    <tableColumn id="7" xr3:uid="{C514ED17-2134-F049-8C0F-DC9998AC7216}" name="Lys" dataDxfId="0"/>
    <tableColumn id="8" xr3:uid="{DC97FD67-6114-414C-A53C-1CB52F6E5C60}" name="AV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E119-4351-7549-A190-A2EBD20C4B61}">
  <dimension ref="A1:H45"/>
  <sheetViews>
    <sheetView tabSelected="1" topLeftCell="A22" zoomScale="140" zoomScaleNormal="140" workbookViewId="0">
      <selection activeCell="A46" sqref="A46:XFD53"/>
    </sheetView>
  </sheetViews>
  <sheetFormatPr baseColWidth="10" defaultRowHeight="15" x14ac:dyDescent="0.2"/>
  <cols>
    <col min="1" max="1" width="52" customWidth="1"/>
    <col min="2" max="3" width="9.83203125" bestFit="1" customWidth="1"/>
    <col min="4" max="4" width="12.83203125" bestFit="1" customWidth="1"/>
    <col min="5" max="5" width="40.33203125" customWidth="1"/>
    <col min="6" max="6" width="24.1640625" style="11" customWidth="1"/>
    <col min="7" max="7" width="35.5" style="11" customWidth="1"/>
    <col min="8" max="8" width="38" customWidth="1"/>
  </cols>
  <sheetData>
    <row r="1" spans="1:8" x14ac:dyDescent="0.2">
      <c r="A1" s="7" t="s">
        <v>21</v>
      </c>
      <c r="B1" s="7" t="s">
        <v>0</v>
      </c>
      <c r="C1" s="7" t="s">
        <v>1</v>
      </c>
      <c r="D1" s="7" t="s">
        <v>2</v>
      </c>
      <c r="E1" s="7" t="s">
        <v>3</v>
      </c>
      <c r="F1" s="11" t="s">
        <v>24</v>
      </c>
      <c r="G1" s="11" t="s">
        <v>25</v>
      </c>
      <c r="H1" s="7" t="s">
        <v>4</v>
      </c>
    </row>
    <row r="2" spans="1:8" ht="16" x14ac:dyDescent="0.2">
      <c r="A2" s="1" t="s">
        <v>22</v>
      </c>
      <c r="B2" s="8" cm="1">
        <f t="array" ref="B2">IF(Kjoreplan2026[[#This Row],[Post]]="","",IF(ROW()=ROW(Kjoreplan2026[#Headers])+1,TIME(12,0,0),INDEX(C:C,ROW()-1)))</f>
        <v>0.5</v>
      </c>
      <c r="C2" s="8">
        <f>IF(OR(Kjoreplan2026[[#This Row],[Start]]="",Kjoreplan2026[[#This Row],[Varighet]]=""),"",Kjoreplan2026[[#This Row],[Start]]+Kjoreplan2026[[#This Row],[Varighet]])</f>
        <v>0.52777777777777779</v>
      </c>
      <c r="D2" s="2" t="s">
        <v>7</v>
      </c>
      <c r="E2" s="1"/>
      <c r="H2" s="1"/>
    </row>
    <row r="3" spans="1:8" ht="16" x14ac:dyDescent="0.2">
      <c r="A3" s="1" t="s">
        <v>23</v>
      </c>
      <c r="B3" s="8" cm="1">
        <f t="array" ref="B3">IF(Kjoreplan2026[[#This Row],[Post]]="","",IF(ROW()=ROW(Kjoreplan2026[#Headers])+1,TIME(12,0,0),INDEX(C:C,ROW()-1)))</f>
        <v>0.52777777777777779</v>
      </c>
      <c r="C3" s="8">
        <f>IF(OR(Kjoreplan2026[[#This Row],[Start]]="",Kjoreplan2026[[#This Row],[Varighet]]=""),"",Kjoreplan2026[[#This Row],[Start]]+Kjoreplan2026[[#This Row],[Varighet]])</f>
        <v>0.53819444444444442</v>
      </c>
      <c r="D3" s="8">
        <v>1.0416666666666666E-2</v>
      </c>
      <c r="E3" s="1" t="s">
        <v>26</v>
      </c>
      <c r="F3" s="11" t="s">
        <v>27</v>
      </c>
      <c r="H3" s="1"/>
    </row>
    <row r="4" spans="1:8" ht="16" x14ac:dyDescent="0.2">
      <c r="A4" s="1" t="s">
        <v>28</v>
      </c>
      <c r="B4" s="8" cm="1">
        <f t="array" ref="B4">IF(Kjoreplan2026[[#This Row],[Post]]="","",IF(ROW()=ROW(Kjoreplan2026[#Headers])+1,TIME(12,0,0),INDEX(C:C,ROW()-1)))</f>
        <v>0.53819444444444442</v>
      </c>
      <c r="C4" s="8">
        <f>IF(OR(Kjoreplan2026[[#This Row],[Start]]="",Kjoreplan2026[[#This Row],[Varighet]]=""),"",Kjoreplan2026[[#This Row],[Start]]+Kjoreplan2026[[#This Row],[Varighet]])</f>
        <v>0.54166666666666663</v>
      </c>
      <c r="D4" s="8">
        <v>3.472222222222222E-3</v>
      </c>
      <c r="E4" s="1" t="s">
        <v>26</v>
      </c>
      <c r="F4" s="11" t="s">
        <v>27</v>
      </c>
      <c r="G4" s="11" t="s">
        <v>29</v>
      </c>
      <c r="H4" s="1"/>
    </row>
    <row r="5" spans="1:8" ht="16" x14ac:dyDescent="0.2">
      <c r="A5" s="1" t="s">
        <v>6</v>
      </c>
      <c r="B5" s="8" cm="1">
        <f t="array" ref="B5">IF(Kjoreplan2026[[#This Row],[Post]]="","",IF(ROW()=ROW(Kjoreplan2026[#Headers])+1,TIME(12,0,0),INDEX(C:C,ROW()-1)))</f>
        <v>0.54166666666666663</v>
      </c>
      <c r="C5" s="8">
        <f>IF(OR(Kjoreplan2026[[#This Row],[Start]]="",Kjoreplan2026[[#This Row],[Varighet]]=""),"",Kjoreplan2026[[#This Row],[Start]]+Kjoreplan2026[[#This Row],[Varighet]])</f>
        <v>0.54374999999999996</v>
      </c>
      <c r="D5" s="2" t="s">
        <v>9</v>
      </c>
      <c r="E5" s="1" t="s">
        <v>30</v>
      </c>
      <c r="F5" s="11" t="s">
        <v>31</v>
      </c>
      <c r="G5" s="11" t="s">
        <v>6</v>
      </c>
      <c r="H5" s="1"/>
    </row>
    <row r="6" spans="1:8" ht="16" x14ac:dyDescent="0.2">
      <c r="A6" s="1" t="s">
        <v>11</v>
      </c>
      <c r="B6" s="8" cm="1">
        <f t="array" ref="B6">IF(Kjoreplan2026[[#This Row],[Post]]="","",IF(ROW()=ROW(Kjoreplan2026[#Headers])+1,TIME(12,0,0),INDEX(C:C,ROW()-1)))</f>
        <v>0.54374999999999996</v>
      </c>
      <c r="C6" s="8">
        <f>IF(OR(Kjoreplan2026[[#This Row],[Start]]="",Kjoreplan2026[[#This Row],[Varighet]]=""),"",Kjoreplan2026[[#This Row],[Start]]+Kjoreplan2026[[#This Row],[Varighet]])</f>
        <v>0.55069444444444438</v>
      </c>
      <c r="D6" s="2" t="s">
        <v>12</v>
      </c>
      <c r="E6" s="1" t="s">
        <v>32</v>
      </c>
      <c r="F6" s="13" t="s">
        <v>92</v>
      </c>
      <c r="H6" s="1" t="s">
        <v>33</v>
      </c>
    </row>
    <row r="7" spans="1:8" ht="16" x14ac:dyDescent="0.2">
      <c r="A7" s="1" t="s">
        <v>13</v>
      </c>
      <c r="B7" s="8" cm="1">
        <f t="array" ref="B7">IF(Kjoreplan2026[[#This Row],[Post]]="","",IF(ROW()=ROW(Kjoreplan2026[#Headers])+1,TIME(12,0,0),INDEX(C:C,ROW()-1)))</f>
        <v>0.55069444444444438</v>
      </c>
      <c r="C7" s="8">
        <f>IF(OR(Kjoreplan2026[[#This Row],[Start]]="",Kjoreplan2026[[#This Row],[Varighet]]=""),"",Kjoreplan2026[[#This Row],[Start]]+Kjoreplan2026[[#This Row],[Varighet]])</f>
        <v>0.55138888888888882</v>
      </c>
      <c r="D7" s="2" t="s">
        <v>10</v>
      </c>
      <c r="E7" s="1"/>
      <c r="F7" s="13" t="s">
        <v>92</v>
      </c>
      <c r="H7" s="1"/>
    </row>
    <row r="8" spans="1:8" ht="16" x14ac:dyDescent="0.2">
      <c r="A8" s="1" t="s">
        <v>40</v>
      </c>
      <c r="B8" s="8" cm="1">
        <f t="array" ref="B8">IF(Kjoreplan2026[[#This Row],[Post]]="","",IF(ROW()=ROW(Kjoreplan2026[#Headers])+1,TIME(12,0,0),INDEX(C:C,ROW()-1)))</f>
        <v>0.55138888888888882</v>
      </c>
      <c r="C8" s="8">
        <f>IF(OR(Kjoreplan2026[[#This Row],[Start]]="",Kjoreplan2026[[#This Row],[Varighet]]=""),"",Kjoreplan2026[[#This Row],[Start]]+Kjoreplan2026[[#This Row],[Varighet]])</f>
        <v>0.55208333333333326</v>
      </c>
      <c r="D8" s="2" t="s">
        <v>10</v>
      </c>
      <c r="E8" s="1" t="s">
        <v>30</v>
      </c>
      <c r="F8" s="13"/>
      <c r="G8" s="11" t="s">
        <v>40</v>
      </c>
      <c r="H8" s="1"/>
    </row>
    <row r="9" spans="1:8" ht="16" x14ac:dyDescent="0.2">
      <c r="A9" s="1" t="s">
        <v>14</v>
      </c>
      <c r="B9" s="8" cm="1">
        <f t="array" ref="B9">IF(Kjoreplan2026[[#This Row],[Post]]="","",IF(ROW()=ROW(Kjoreplan2026[#Headers])+1,TIME(12,0,0),INDEX(C:C,ROW()-1)))</f>
        <v>0.55208333333333326</v>
      </c>
      <c r="C9" s="8">
        <f>IF(OR(Kjoreplan2026[[#This Row],[Start]]="",Kjoreplan2026[[#This Row],[Varighet]]=""),"",Kjoreplan2026[[#This Row],[Start]]+Kjoreplan2026[[#This Row],[Varighet]])</f>
        <v>0.58472222222222214</v>
      </c>
      <c r="D9" s="2" t="s">
        <v>15</v>
      </c>
      <c r="E9" s="1" t="s">
        <v>34</v>
      </c>
      <c r="G9" s="11" t="s">
        <v>35</v>
      </c>
      <c r="H9" s="1"/>
    </row>
    <row r="10" spans="1:8" ht="16" x14ac:dyDescent="0.2">
      <c r="A10" s="1" t="s">
        <v>43</v>
      </c>
      <c r="B10" s="8" cm="1">
        <f t="array" ref="B10">IF(Kjoreplan2026[[#This Row],[Post]]="","",IF(ROW()=ROW(Kjoreplan2026[#Headers])+1,TIME(12,0,0),INDEX(C:C,ROW()-1)))</f>
        <v>0.58472222222222214</v>
      </c>
      <c r="C10" s="8">
        <f>IF(OR(Kjoreplan2026[[#This Row],[Start]]="",Kjoreplan2026[[#This Row],[Varighet]]=""),"",Kjoreplan2026[[#This Row],[Start]]+Kjoreplan2026[[#This Row],[Varighet]])</f>
        <v>0.59166666666666656</v>
      </c>
      <c r="D10" s="2" t="s">
        <v>12</v>
      </c>
      <c r="E10" s="1" t="s">
        <v>32</v>
      </c>
      <c r="F10" s="13" t="s">
        <v>92</v>
      </c>
      <c r="G10" s="11" t="s">
        <v>36</v>
      </c>
      <c r="H10" s="1" t="s">
        <v>16</v>
      </c>
    </row>
    <row r="11" spans="1:8" ht="16" x14ac:dyDescent="0.2">
      <c r="A11" s="1" t="s">
        <v>37</v>
      </c>
      <c r="B11" s="8" cm="1">
        <f t="array" ref="B11">IF(Kjoreplan2026[[#This Row],[Post]]="","",IF(ROW()=ROW(Kjoreplan2026[#Headers])+1,TIME(12,0,0),INDEX(C:C,ROW()-1)))</f>
        <v>0.59166666666666656</v>
      </c>
      <c r="C11" s="8">
        <f>IF(OR(Kjoreplan2026[[#This Row],[Start]]="",Kjoreplan2026[[#This Row],[Varighet]]=""),"",Kjoreplan2026[[#This Row],[Start]]+Kjoreplan2026[[#This Row],[Varighet]])</f>
        <v>0.59374999999999989</v>
      </c>
      <c r="D11" s="8">
        <v>2.0833333333333333E-3</v>
      </c>
      <c r="E11" s="1" t="s">
        <v>34</v>
      </c>
      <c r="F11" s="13" t="s">
        <v>92</v>
      </c>
      <c r="H11" s="1"/>
    </row>
    <row r="12" spans="1:8" ht="16" x14ac:dyDescent="0.2">
      <c r="A12" s="3" t="s">
        <v>5</v>
      </c>
      <c r="B12" s="8" cm="1">
        <f t="array" ref="B12">IF(Kjoreplan2026[[#This Row],[Post]]="","",IF(ROW()=ROW(Kjoreplan2026[#Headers])+1,TIME(12,0,0),INDEX(C:C,ROW()-1)))</f>
        <v>0.59374999999999989</v>
      </c>
      <c r="C12" s="8">
        <f>IF(OR(Kjoreplan2026[[#This Row],[Start]]="",Kjoreplan2026[[#This Row],[Varighet]]=""),"",Kjoreplan2026[[#This Row],[Start]]+Kjoreplan2026[[#This Row],[Varighet]])</f>
        <v>0.60763888888888873</v>
      </c>
      <c r="D12" s="9">
        <v>1.3888888888888888E-2</v>
      </c>
      <c r="E12" s="5" t="s">
        <v>41</v>
      </c>
      <c r="G12" s="12" t="s">
        <v>38</v>
      </c>
      <c r="H12" s="5" t="s">
        <v>26</v>
      </c>
    </row>
    <row r="13" spans="1:8" ht="16" x14ac:dyDescent="0.2">
      <c r="A13" s="1" t="s">
        <v>39</v>
      </c>
      <c r="B13" s="8" cm="1">
        <f t="array" ref="B13">IF(Kjoreplan2026[[#This Row],[Post]]="","",IF(ROW()=ROW(Kjoreplan2026[#Headers])+1,TIME(12,0,0),INDEX(C:C,ROW()-1)))</f>
        <v>0.60763888888888873</v>
      </c>
      <c r="C13" s="8">
        <f>IF(OR(Kjoreplan2026[[#This Row],[Start]]="",Kjoreplan2026[[#This Row],[Varighet]]=""),"",Kjoreplan2026[[#This Row],[Start]]+Kjoreplan2026[[#This Row],[Varighet]])</f>
        <v>0.60833333333333317</v>
      </c>
      <c r="D13" s="2" t="s">
        <v>10</v>
      </c>
      <c r="E13" s="1" t="s">
        <v>30</v>
      </c>
      <c r="F13" s="13"/>
      <c r="G13" s="11" t="s">
        <v>39</v>
      </c>
      <c r="H13" s="1"/>
    </row>
    <row r="14" spans="1:8" ht="16" x14ac:dyDescent="0.2">
      <c r="A14" s="1" t="s">
        <v>48</v>
      </c>
      <c r="B14" s="8" cm="1">
        <f t="array" ref="B14">IF(Kjoreplan2026[[#This Row],[Post]]="","",IF(ROW()=ROW(Kjoreplan2026[#Headers])+1,TIME(12,0,0),INDEX(C:C,ROW()-1)))</f>
        <v>0.60833333333333317</v>
      </c>
      <c r="C14" s="8">
        <f>IF(OR(Kjoreplan2026[[#This Row],[Start]]="",Kjoreplan2026[[#This Row],[Varighet]]=""),"",Kjoreplan2026[[#This Row],[Start]]+Kjoreplan2026[[#This Row],[Varighet]])</f>
        <v>0.62222222222222201</v>
      </c>
      <c r="D14" s="2" t="s">
        <v>8</v>
      </c>
      <c r="E14" s="1" t="s">
        <v>80</v>
      </c>
      <c r="G14" s="11" t="s">
        <v>42</v>
      </c>
      <c r="H14" s="1"/>
    </row>
    <row r="15" spans="1:8" ht="16" x14ac:dyDescent="0.2">
      <c r="A15" s="1" t="s">
        <v>44</v>
      </c>
      <c r="B15" s="8" cm="1">
        <f t="array" ref="B15">IF(Kjoreplan2026[[#This Row],[Post]]="","",IF(ROW()=ROW(Kjoreplan2026[#Headers])+1,TIME(12,0,0),INDEX(C:C,ROW()-1)))</f>
        <v>0.62222222222222201</v>
      </c>
      <c r="C15" s="8">
        <f>IF(OR(Kjoreplan2026[[#This Row],[Start]]="",Kjoreplan2026[[#This Row],[Varighet]]=""),"",Kjoreplan2026[[#This Row],[Start]]+Kjoreplan2026[[#This Row],[Varighet]])</f>
        <v>0.62569444444444422</v>
      </c>
      <c r="D15" s="2" t="s">
        <v>17</v>
      </c>
      <c r="E15" s="1" t="s">
        <v>45</v>
      </c>
      <c r="F15" s="13" t="s">
        <v>92</v>
      </c>
      <c r="G15" s="11" t="s">
        <v>36</v>
      </c>
      <c r="H15" s="1" t="s">
        <v>16</v>
      </c>
    </row>
    <row r="16" spans="1:8" ht="16" x14ac:dyDescent="0.2">
      <c r="A16" s="1" t="s">
        <v>47</v>
      </c>
      <c r="B16" s="8" cm="1">
        <f t="array" ref="B16">IF(Kjoreplan2026[[#This Row],[Post]]="","",IF(ROW()=ROW(Kjoreplan2026[#Headers])+1,TIME(12,0,0),INDEX(C:C,ROW()-1)))</f>
        <v>0.62569444444444422</v>
      </c>
      <c r="C16" s="8">
        <f>IF(OR(Kjoreplan2026[[#This Row],[Start]]="",Kjoreplan2026[[#This Row],[Varighet]]=""),"",Kjoreplan2026[[#This Row],[Start]]+Kjoreplan2026[[#This Row],[Varighet]])</f>
        <v>0.6270833333333331</v>
      </c>
      <c r="D16" s="8">
        <v>1.3888888888888889E-3</v>
      </c>
      <c r="E16" s="1"/>
      <c r="F16" s="13" t="s">
        <v>92</v>
      </c>
      <c r="H16" s="1"/>
    </row>
    <row r="17" spans="1:8" ht="16" x14ac:dyDescent="0.2">
      <c r="A17" s="1" t="s">
        <v>46</v>
      </c>
      <c r="B17" s="8" cm="1">
        <f t="array" ref="B17">IF(Kjoreplan2026[[#This Row],[Post]]="","",IF(ROW()=ROW(Kjoreplan2026[#Headers])+1,TIME(12,0,0),INDEX(C:C,ROW()-1)))</f>
        <v>0.6270833333333331</v>
      </c>
      <c r="C17" s="8">
        <f>IF(OR(Kjoreplan2026[[#This Row],[Start]]="",Kjoreplan2026[[#This Row],[Varighet]]=""),"",Kjoreplan2026[[#This Row],[Start]]+Kjoreplan2026[[#This Row],[Varighet]])</f>
        <v>0.62777777777777755</v>
      </c>
      <c r="D17" s="2" t="s">
        <v>10</v>
      </c>
      <c r="E17" s="1"/>
      <c r="G17" s="1" t="s">
        <v>46</v>
      </c>
      <c r="H17" s="1"/>
    </row>
    <row r="18" spans="1:8" ht="16" x14ac:dyDescent="0.2">
      <c r="A18" s="1" t="s">
        <v>49</v>
      </c>
      <c r="B18" s="8" cm="1">
        <f t="array" ref="B18">IF(Kjoreplan2026[[#This Row],[Post]]="","",IF(ROW()=ROW(Kjoreplan2026[#Headers])+1,TIME(12,0,0),INDEX(C:C,ROW()-1)))</f>
        <v>0.62777777777777755</v>
      </c>
      <c r="C18" s="8">
        <f>IF(OR(Kjoreplan2026[[#This Row],[Start]]="",Kjoreplan2026[[#This Row],[Varighet]]=""),"",Kjoreplan2026[[#This Row],[Start]]+Kjoreplan2026[[#This Row],[Varighet]])</f>
        <v>0.63472222222222197</v>
      </c>
      <c r="D18" s="8">
        <v>6.9444444444444441E-3</v>
      </c>
      <c r="E18" s="1" t="s">
        <v>34</v>
      </c>
      <c r="G18" s="11" t="s">
        <v>50</v>
      </c>
      <c r="H18" s="1"/>
    </row>
    <row r="19" spans="1:8" ht="16" x14ac:dyDescent="0.2">
      <c r="A19" s="1" t="s">
        <v>51</v>
      </c>
      <c r="B19" s="8" cm="1">
        <f t="array" ref="B19">IF(Kjoreplan2026[[#This Row],[Post]]="","",IF(ROW()=ROW(Kjoreplan2026[#Headers])+1,TIME(12,0,0),INDEX(C:C,ROW()-1)))</f>
        <v>0.63472222222222197</v>
      </c>
      <c r="C19" s="8">
        <f>IF(OR(Kjoreplan2026[[#This Row],[Start]]="",Kjoreplan2026[[#This Row],[Varighet]]=""),"",Kjoreplan2026[[#This Row],[Start]]+Kjoreplan2026[[#This Row],[Varighet]])</f>
        <v>0.63541666666666641</v>
      </c>
      <c r="D19" s="8">
        <v>6.9444444444444447E-4</v>
      </c>
      <c r="E19" s="1"/>
      <c r="G19" s="11" t="s">
        <v>36</v>
      </c>
      <c r="H19" s="1"/>
    </row>
    <row r="20" spans="1:8" ht="16" x14ac:dyDescent="0.2">
      <c r="A20" s="3" t="s">
        <v>5</v>
      </c>
      <c r="B20" s="8" cm="1">
        <f t="array" ref="B20">IF(Kjoreplan2026[[#This Row],[Post]]="","",IF(ROW()=ROW(Kjoreplan2026[#Headers])+1,TIME(12,0,0),INDEX(C:C,ROW()-1)))</f>
        <v>0.63541666666666641</v>
      </c>
      <c r="C20" s="8">
        <f>IF(OR(Kjoreplan2026[[#This Row],[Start]]="",Kjoreplan2026[[#This Row],[Varighet]]=""),"",Kjoreplan2026[[#This Row],[Start]]+Kjoreplan2026[[#This Row],[Varighet]])</f>
        <v>0.64930555555555525</v>
      </c>
      <c r="D20" s="4" t="s">
        <v>8</v>
      </c>
      <c r="E20" s="5" t="s">
        <v>52</v>
      </c>
      <c r="G20" s="12" t="s">
        <v>53</v>
      </c>
      <c r="H20" s="5" t="s">
        <v>26</v>
      </c>
    </row>
    <row r="21" spans="1:8" ht="16" x14ac:dyDescent="0.2">
      <c r="A21" s="11" t="s">
        <v>57</v>
      </c>
      <c r="B21" s="8" cm="1">
        <f t="array" ref="B21">IF(Kjoreplan2026[[#This Row],[Post]]="","",IF(ROW()=ROW(Kjoreplan2026[#Headers])+1,TIME(12,0,0),INDEX(C:C,ROW()-1)))</f>
        <v>0.64930555555555525</v>
      </c>
      <c r="C21" s="8">
        <f>IF(OR(Kjoreplan2026[[#This Row],[Start]]="",Kjoreplan2026[[#This Row],[Varighet]]=""),"",Kjoreplan2026[[#This Row],[Start]]+Kjoreplan2026[[#This Row],[Varighet]])</f>
        <v>0.64999999999999969</v>
      </c>
      <c r="D21" s="2" t="s">
        <v>10</v>
      </c>
      <c r="E21" s="1" t="s">
        <v>30</v>
      </c>
      <c r="F21" s="13"/>
      <c r="G21" s="11" t="s">
        <v>57</v>
      </c>
      <c r="H21" s="1"/>
    </row>
    <row r="22" spans="1:8" ht="16" x14ac:dyDescent="0.2">
      <c r="A22" s="1" t="s">
        <v>58</v>
      </c>
      <c r="B22" s="8" cm="1">
        <f t="array" ref="B22">IF(Kjoreplan2026[[#This Row],[Post]]="","",IF(ROW()=ROW(Kjoreplan2026[#Headers])+1,TIME(12,0,0),INDEX(C:C,ROW()-1)))</f>
        <v>0.64999999999999969</v>
      </c>
      <c r="C22" s="8">
        <f>IF(OR(Kjoreplan2026[[#This Row],[Start]]="",Kjoreplan2026[[#This Row],[Varighet]]=""),"",Kjoreplan2026[[#This Row],[Start]]+Kjoreplan2026[[#This Row],[Varighet]])</f>
        <v>0.66041666666666632</v>
      </c>
      <c r="D22" s="2" t="s">
        <v>18</v>
      </c>
      <c r="E22" s="1" t="s">
        <v>55</v>
      </c>
      <c r="F22" s="13"/>
      <c r="G22" s="11" t="s">
        <v>54</v>
      </c>
      <c r="H22" s="1"/>
    </row>
    <row r="23" spans="1:8" ht="16" x14ac:dyDescent="0.2">
      <c r="A23" s="11" t="s">
        <v>59</v>
      </c>
      <c r="B23" s="8" cm="1">
        <f t="array" ref="B23">IF(Kjoreplan2026[[#This Row],[Post]]="","",IF(ROW()=ROW(Kjoreplan2026[#Headers])+1,TIME(12,0,0),INDEX(C:C,ROW()-1)))</f>
        <v>0.66041666666666632</v>
      </c>
      <c r="C23" s="8">
        <f>IF(OR(Kjoreplan2026[[#This Row],[Start]]="",Kjoreplan2026[[#This Row],[Varighet]]=""),"",Kjoreplan2026[[#This Row],[Start]]+Kjoreplan2026[[#This Row],[Varighet]])</f>
        <v>0.66111111111111076</v>
      </c>
      <c r="D23" s="2" t="s">
        <v>10</v>
      </c>
      <c r="E23" s="1" t="s">
        <v>30</v>
      </c>
      <c r="G23" s="11" t="s">
        <v>59</v>
      </c>
      <c r="H23" s="1"/>
    </row>
    <row r="24" spans="1:8" ht="16" x14ac:dyDescent="0.2">
      <c r="A24" s="1" t="s">
        <v>60</v>
      </c>
      <c r="B24" s="8" cm="1">
        <f t="array" ref="B24">IF(Kjoreplan2026[[#This Row],[Post]]="","",IF(ROW()=ROW(Kjoreplan2026[#Headers])+1,TIME(12,0,0),INDEX(C:C,ROW()-1)))</f>
        <v>0.66111111111111076</v>
      </c>
      <c r="C24" s="8">
        <f>IF(OR(Kjoreplan2026[[#This Row],[Start]]="",Kjoreplan2026[[#This Row],[Varighet]]=""),"",Kjoreplan2026[[#This Row],[Start]]+Kjoreplan2026[[#This Row],[Varighet]])</f>
        <v>0.67152777777777739</v>
      </c>
      <c r="D24" s="2" t="s">
        <v>18</v>
      </c>
      <c r="E24" s="1" t="s">
        <v>55</v>
      </c>
      <c r="F24" s="13"/>
      <c r="G24" s="11" t="s">
        <v>56</v>
      </c>
      <c r="H24" s="1"/>
    </row>
    <row r="25" spans="1:8" ht="16" x14ac:dyDescent="0.2">
      <c r="A25" s="11" t="s">
        <v>62</v>
      </c>
      <c r="B25" s="8" cm="1">
        <f t="array" ref="B25">IF(Kjoreplan2026[[#This Row],[Post]]="","",IF(ROW()=ROW(Kjoreplan2026[#Headers])+1,TIME(12,0,0),INDEX(C:C,ROW()-1)))</f>
        <v>0.67152777777777739</v>
      </c>
      <c r="C25" s="8">
        <f>IF(OR(Kjoreplan2026[[#This Row],[Start]]="",Kjoreplan2026[[#This Row],[Varighet]]=""),"",Kjoreplan2026[[#This Row],[Start]]+Kjoreplan2026[[#This Row],[Varighet]])</f>
        <v>0.67222222222222183</v>
      </c>
      <c r="D25" s="2" t="s">
        <v>10</v>
      </c>
      <c r="E25" s="1" t="s">
        <v>30</v>
      </c>
      <c r="G25" s="11" t="s">
        <v>62</v>
      </c>
      <c r="H25" s="1"/>
    </row>
    <row r="26" spans="1:8" ht="16" x14ac:dyDescent="0.2">
      <c r="A26" s="11" t="s">
        <v>61</v>
      </c>
      <c r="B26" s="8" cm="1">
        <f t="array" ref="B26">IF(Kjoreplan2026[[#This Row],[Post]]="","",IF(ROW()=ROW(Kjoreplan2026[#Headers])+1,TIME(12,0,0),INDEX(C:C,ROW()-1)))</f>
        <v>0.67222222222222183</v>
      </c>
      <c r="C26" s="8">
        <f>IF(OR(Kjoreplan2026[[#This Row],[Start]]="",Kjoreplan2026[[#This Row],[Varighet]]=""),"",Kjoreplan2026[[#This Row],[Start]]+Kjoreplan2026[[#This Row],[Varighet]])</f>
        <v>0.68263888888888846</v>
      </c>
      <c r="D26" s="2" t="s">
        <v>18</v>
      </c>
      <c r="E26" s="1" t="s">
        <v>55</v>
      </c>
      <c r="F26" s="13"/>
      <c r="G26" s="11" t="s">
        <v>63</v>
      </c>
      <c r="H26" s="1"/>
    </row>
    <row r="27" spans="1:8" ht="16" x14ac:dyDescent="0.2">
      <c r="A27" s="1" t="s">
        <v>64</v>
      </c>
      <c r="B27" s="8" cm="1">
        <f t="array" ref="B27">IF(Kjoreplan2026[[#This Row],[Post]]="","",IF(ROW()=ROW(Kjoreplan2026[#Headers])+1,TIME(12,0,0),INDEX(C:C,ROW()-1)))</f>
        <v>0.68263888888888846</v>
      </c>
      <c r="C27" s="8">
        <f>IF(OR(Kjoreplan2026[[#This Row],[Start]]="",Kjoreplan2026[[#This Row],[Varighet]]=""),"",Kjoreplan2026[[#This Row],[Start]]+Kjoreplan2026[[#This Row],[Varighet]])</f>
        <v>0.6833333333333329</v>
      </c>
      <c r="D27" s="2" t="s">
        <v>10</v>
      </c>
      <c r="E27" s="1" t="s">
        <v>30</v>
      </c>
      <c r="G27" s="1" t="s">
        <v>64</v>
      </c>
      <c r="H27" s="1"/>
    </row>
    <row r="28" spans="1:8" ht="16" x14ac:dyDescent="0.2">
      <c r="A28" s="1" t="s">
        <v>65</v>
      </c>
      <c r="B28" s="8" cm="1">
        <f t="array" ref="B28">IF(Kjoreplan2026[[#This Row],[Post]]="","",IF(ROW()=ROW(Kjoreplan2026[#Headers])+1,TIME(12,0,0),INDEX(C:C,ROW()-1)))</f>
        <v>0.6833333333333329</v>
      </c>
      <c r="C28" s="8">
        <f>IF(OR(Kjoreplan2026[[#This Row],[Start]]="",Kjoreplan2026[[#This Row],[Varighet]]=""),"",Kjoreplan2026[[#This Row],[Start]]+Kjoreplan2026[[#This Row],[Varighet]])</f>
        <v>0.69374999999999953</v>
      </c>
      <c r="D28" s="2" t="s">
        <v>18</v>
      </c>
      <c r="E28" s="1" t="s">
        <v>55</v>
      </c>
      <c r="F28" s="13"/>
      <c r="G28" s="11" t="s">
        <v>66</v>
      </c>
      <c r="H28" s="1"/>
    </row>
    <row r="29" spans="1:8" ht="16" x14ac:dyDescent="0.2">
      <c r="A29" s="1" t="s">
        <v>67</v>
      </c>
      <c r="B29" s="8" cm="1">
        <f t="array" ref="B29">IF(Kjoreplan2026[[#This Row],[Post]]="","",IF(ROW()=ROW(Kjoreplan2026[#Headers])+1,TIME(12,0,0),INDEX(C:C,ROW()-1)))</f>
        <v>0.69374999999999953</v>
      </c>
      <c r="C29" s="8">
        <f>IF(OR(Kjoreplan2026[[#This Row],[Start]]="",Kjoreplan2026[[#This Row],[Varighet]]=""),"",Kjoreplan2026[[#This Row],[Start]]+Kjoreplan2026[[#This Row],[Varighet]])</f>
        <v>0.69444444444444398</v>
      </c>
      <c r="D29" s="2" t="s">
        <v>10</v>
      </c>
      <c r="E29" s="1" t="s">
        <v>30</v>
      </c>
      <c r="G29" s="1" t="s">
        <v>67</v>
      </c>
      <c r="H29" s="1"/>
    </row>
    <row r="30" spans="1:8" ht="16" x14ac:dyDescent="0.2">
      <c r="A30" s="1" t="s">
        <v>68</v>
      </c>
      <c r="B30" s="8" cm="1">
        <f t="array" ref="B30">IF(Kjoreplan2026[[#This Row],[Post]]="","",IF(ROW()=ROW(Kjoreplan2026[#Headers])+1,TIME(12,0,0),INDEX(C:C,ROW()-1)))</f>
        <v>0.69444444444444398</v>
      </c>
      <c r="C30" s="8">
        <f>IF(OR(Kjoreplan2026[[#This Row],[Start]]="",Kjoreplan2026[[#This Row],[Varighet]]=""),"",Kjoreplan2026[[#This Row],[Start]]+Kjoreplan2026[[#This Row],[Varighet]])</f>
        <v>0.70486111111111061</v>
      </c>
      <c r="D30" s="2" t="s">
        <v>18</v>
      </c>
      <c r="E30" s="1" t="s">
        <v>69</v>
      </c>
      <c r="F30" s="13"/>
      <c r="G30" s="11" t="s">
        <v>70</v>
      </c>
      <c r="H30" s="1"/>
    </row>
    <row r="31" spans="1:8" ht="16" x14ac:dyDescent="0.2">
      <c r="A31" s="1" t="s">
        <v>71</v>
      </c>
      <c r="B31" s="8" cm="1">
        <f t="array" ref="B31">IF(Kjoreplan2026[[#This Row],[Post]]="","",IF(ROW()=ROW(Kjoreplan2026[#Headers])+1,TIME(12,0,0),INDEX(C:C,ROW()-1)))</f>
        <v>0.70486111111111061</v>
      </c>
      <c r="C31" s="8">
        <f>IF(OR(Kjoreplan2026[[#This Row],[Start]]="",Kjoreplan2026[[#This Row],[Varighet]]=""),"",Kjoreplan2026[[#This Row],[Start]]+Kjoreplan2026[[#This Row],[Varighet]])</f>
        <v>0.71666666666666612</v>
      </c>
      <c r="D31" s="8">
        <v>1.1805555555555555E-2</v>
      </c>
      <c r="E31" s="1" t="s">
        <v>72</v>
      </c>
      <c r="F31" s="13" t="s">
        <v>92</v>
      </c>
      <c r="G31" s="11" t="s">
        <v>36</v>
      </c>
      <c r="H31" s="1" t="s">
        <v>19</v>
      </c>
    </row>
    <row r="32" spans="1:8" ht="16" x14ac:dyDescent="0.2">
      <c r="A32" s="1" t="s">
        <v>73</v>
      </c>
      <c r="B32" s="8" cm="1">
        <f t="array" ref="B32">IF(Kjoreplan2026[[#This Row],[Post]]="","",IF(ROW()=ROW(Kjoreplan2026[#Headers])+1,TIME(12,0,0),INDEX(C:C,ROW()-1)))</f>
        <v>0.71666666666666612</v>
      </c>
      <c r="C32" s="8">
        <f>IF(OR(Kjoreplan2026[[#This Row],[Start]]="",Kjoreplan2026[[#This Row],[Varighet]]=""),"",Kjoreplan2026[[#This Row],[Start]]+Kjoreplan2026[[#This Row],[Varighet]])</f>
        <v>0.71874999999999944</v>
      </c>
      <c r="D32" s="8">
        <v>2.0833333333333333E-3</v>
      </c>
      <c r="E32" s="1"/>
      <c r="F32" s="13" t="s">
        <v>92</v>
      </c>
      <c r="H32" s="1"/>
    </row>
    <row r="33" spans="1:8" ht="16" x14ac:dyDescent="0.2">
      <c r="A33" s="3" t="s">
        <v>5</v>
      </c>
      <c r="B33" s="8" cm="1">
        <f t="array" ref="B33">IF(Kjoreplan2026[[#This Row],[Post]]="","",IF(ROW()=ROW(Kjoreplan2026[#Headers])+1,TIME(12,0,0),INDEX(C:C,ROW()-1)))</f>
        <v>0.71874999999999944</v>
      </c>
      <c r="C33" s="8">
        <f>IF(OR(Kjoreplan2026[[#This Row],[Start]]="",Kjoreplan2026[[#This Row],[Varighet]]=""),"",Kjoreplan2026[[#This Row],[Start]]+Kjoreplan2026[[#This Row],[Varighet]])</f>
        <v>0.73263888888888828</v>
      </c>
      <c r="D33" s="4" t="s">
        <v>8</v>
      </c>
      <c r="E33" s="5" t="s">
        <v>74</v>
      </c>
      <c r="G33" s="12" t="s">
        <v>75</v>
      </c>
      <c r="H33" s="5"/>
    </row>
    <row r="34" spans="1:8" ht="16" x14ac:dyDescent="0.2">
      <c r="A34" s="1" t="s">
        <v>76</v>
      </c>
      <c r="B34" s="8" cm="1">
        <f t="array" ref="B34">IF(Kjoreplan2026[[#This Row],[Post]]="","",IF(ROW()=ROW(Kjoreplan2026[#Headers])+1,TIME(12,0,0),INDEX(C:C,ROW()-1)))</f>
        <v>0.73263888888888828</v>
      </c>
      <c r="C34" s="8">
        <f>IF(OR(Kjoreplan2026[[#This Row],[Start]]="",Kjoreplan2026[[#This Row],[Varighet]]=""),"",Kjoreplan2026[[#This Row],[Start]]+Kjoreplan2026[[#This Row],[Varighet]])</f>
        <v>0.73333333333333273</v>
      </c>
      <c r="D34" s="2" t="s">
        <v>10</v>
      </c>
      <c r="E34" s="1"/>
      <c r="F34" s="13"/>
      <c r="G34" s="1" t="s">
        <v>76</v>
      </c>
      <c r="H34" s="1"/>
    </row>
    <row r="35" spans="1:8" ht="16" x14ac:dyDescent="0.2">
      <c r="A35" s="1" t="s">
        <v>77</v>
      </c>
      <c r="B35" s="8" cm="1">
        <f t="array" ref="B35">IF(Kjoreplan2026[[#This Row],[Post]]="","",IF(ROW()=ROW(Kjoreplan2026[#Headers])+1,TIME(12,0,0),INDEX(C:C,ROW()-1)))</f>
        <v>0.73333333333333273</v>
      </c>
      <c r="C35" s="8">
        <f>IF(OR(Kjoreplan2026[[#This Row],[Start]]="",Kjoreplan2026[[#This Row],[Varighet]]=""),"",Kjoreplan2026[[#This Row],[Start]]+Kjoreplan2026[[#This Row],[Varighet]])</f>
        <v>0.74722222222222157</v>
      </c>
      <c r="D35" s="2" t="s">
        <v>8</v>
      </c>
      <c r="E35" s="1" t="s">
        <v>78</v>
      </c>
      <c r="G35" s="11" t="s">
        <v>79</v>
      </c>
      <c r="H35" s="1"/>
    </row>
    <row r="36" spans="1:8" ht="16" x14ac:dyDescent="0.2">
      <c r="A36" s="1" t="s">
        <v>20</v>
      </c>
      <c r="B36" s="8" cm="1">
        <f t="array" ref="B36">IF(Kjoreplan2026[[#This Row],[Post]]="","",IF(ROW()=ROW(Kjoreplan2026[#Headers])+1,TIME(12,0,0),INDEX(C:C,ROW()-1)))</f>
        <v>0.74722222222222157</v>
      </c>
      <c r="C36" s="8">
        <f>IF(OR(Kjoreplan2026[[#This Row],[Start]]="",Kjoreplan2026[[#This Row],[Varighet]]=""),"",Kjoreplan2026[[#This Row],[Start]]+Kjoreplan2026[[#This Row],[Varighet]])</f>
        <v>0.7576388888888882</v>
      </c>
      <c r="D36" s="8">
        <v>1.0416666666666666E-2</v>
      </c>
      <c r="E36" s="1" t="s">
        <v>32</v>
      </c>
      <c r="F36" s="13" t="s">
        <v>92</v>
      </c>
      <c r="G36" s="11" t="s">
        <v>36</v>
      </c>
      <c r="H36" s="1" t="s">
        <v>19</v>
      </c>
    </row>
    <row r="37" spans="1:8" ht="16" x14ac:dyDescent="0.2">
      <c r="A37" s="1" t="s">
        <v>81</v>
      </c>
      <c r="B37" s="8" cm="1">
        <f t="array" ref="B37">IF(Kjoreplan2026[[#This Row],[Post]]="","",IF(ROW()=ROW(Kjoreplan2026[#Headers])+1,TIME(12,0,0),INDEX(C:C,ROW()-1)))</f>
        <v>0.7576388888888882</v>
      </c>
      <c r="C37" s="8">
        <f>IF(OR(Kjoreplan2026[[#This Row],[Start]]="",Kjoreplan2026[[#This Row],[Varighet]]=""),"",Kjoreplan2026[[#This Row],[Start]]+Kjoreplan2026[[#This Row],[Varighet]])</f>
        <v>0.76458333333333262</v>
      </c>
      <c r="D37" s="8">
        <v>6.9444444444444441E-3</v>
      </c>
      <c r="E37" s="1" t="s">
        <v>82</v>
      </c>
      <c r="F37" s="13" t="s">
        <v>92</v>
      </c>
      <c r="H37" s="1"/>
    </row>
    <row r="38" spans="1:8" ht="16" x14ac:dyDescent="0.2">
      <c r="A38" s="14" t="s">
        <v>83</v>
      </c>
      <c r="B38" s="10">
        <v>0.77083333333333337</v>
      </c>
      <c r="C38" s="10">
        <f>IF(OR(Kjoreplan2026[[#This Row],[Start]]="",Kjoreplan2026[[#This Row],[Varighet]]=""),"",Kjoreplan2026[[#This Row],[Start]]+Kjoreplan2026[[#This Row],[Varighet]])</f>
        <v>0.8125</v>
      </c>
      <c r="D38" s="8">
        <v>4.1666666666666664E-2</v>
      </c>
      <c r="E38" s="1"/>
      <c r="H38" s="6"/>
    </row>
    <row r="39" spans="1:8" ht="16" x14ac:dyDescent="0.2">
      <c r="A39" s="1" t="s">
        <v>86</v>
      </c>
      <c r="B39" s="10" cm="1">
        <f t="array" ref="B39">IF(Kjoreplan2026[[#This Row],[Post]]="","",IF(ROW()=ROW(Kjoreplan2026[#Headers])+1,TIME(12,0,0),INDEX(C:C,ROW()-1)))</f>
        <v>0.8125</v>
      </c>
      <c r="C39" s="10">
        <f>IF(OR(Kjoreplan2026[[#This Row],[Start]]="",Kjoreplan2026[[#This Row],[Varighet]]=""),"",Kjoreplan2026[[#This Row],[Start]]+Kjoreplan2026[[#This Row],[Varighet]])</f>
        <v>0.81597222222222221</v>
      </c>
      <c r="D39" s="8">
        <v>3.472222222222222E-3</v>
      </c>
      <c r="E39" s="1" t="s">
        <v>84</v>
      </c>
      <c r="F39" s="11" t="s">
        <v>90</v>
      </c>
    </row>
    <row r="40" spans="1:8" ht="16" x14ac:dyDescent="0.2">
      <c r="A40" s="1" t="s">
        <v>88</v>
      </c>
      <c r="B40" s="10">
        <v>0.82638888888888884</v>
      </c>
      <c r="C40" s="10">
        <f>IF(OR(Kjoreplan2026[[#This Row],[Start]]="",Kjoreplan2026[[#This Row],[Varighet]]=""),"",Kjoreplan2026[[#This Row],[Start]]+Kjoreplan2026[[#This Row],[Varighet]])</f>
        <v>0.82986111111111105</v>
      </c>
      <c r="D40" s="8">
        <v>3.472222222222222E-3</v>
      </c>
      <c r="E40" s="1" t="s">
        <v>34</v>
      </c>
      <c r="F40" s="11" t="s">
        <v>89</v>
      </c>
    </row>
    <row r="41" spans="1:8" ht="16" x14ac:dyDescent="0.2">
      <c r="A41" s="1" t="s">
        <v>85</v>
      </c>
      <c r="B41" s="10">
        <v>0.84375</v>
      </c>
      <c r="C41" s="10">
        <f>IF(OR(Kjoreplan2026[[#This Row],[Start]]="",Kjoreplan2026[[#This Row],[Varighet]]=""),"",Kjoreplan2026[[#This Row],[Start]]+Kjoreplan2026[[#This Row],[Varighet]])</f>
        <v>0.84722222222222221</v>
      </c>
      <c r="D41" s="8">
        <v>3.472222222222222E-3</v>
      </c>
      <c r="E41" s="1" t="s">
        <v>87</v>
      </c>
      <c r="F41" s="11" t="s">
        <v>91</v>
      </c>
    </row>
    <row r="42" spans="1:8" ht="16" x14ac:dyDescent="0.2">
      <c r="A42" s="1" t="s">
        <v>93</v>
      </c>
      <c r="B42" s="10">
        <v>0.86111111111111116</v>
      </c>
      <c r="C42" s="10">
        <f>IF(OR(Kjoreplan2026[[#This Row],[Start]]="",Kjoreplan2026[[#This Row],[Varighet]]=""),"",Kjoreplan2026[[#This Row],[Start]]+Kjoreplan2026[[#This Row],[Varighet]])</f>
        <v>0.86319444444444449</v>
      </c>
      <c r="D42" s="8">
        <v>2.0833333333333333E-3</v>
      </c>
      <c r="E42" s="1" t="s">
        <v>34</v>
      </c>
    </row>
    <row r="43" spans="1:8" ht="16" x14ac:dyDescent="0.2">
      <c r="A43" s="1" t="s">
        <v>94</v>
      </c>
      <c r="B43" s="10">
        <v>0.83680555555555558</v>
      </c>
      <c r="C43" s="10">
        <f>IF(OR(Kjoreplan2026[[#This Row],[Start]]="",Kjoreplan2026[[#This Row],[Varighet]]=""),"",Kjoreplan2026[[#This Row],[Start]]+Kjoreplan2026[[#This Row],[Varighet]])</f>
        <v>0.84027777777777779</v>
      </c>
      <c r="D43" s="8">
        <v>3.472222222222222E-3</v>
      </c>
      <c r="E43" s="1" t="s">
        <v>95</v>
      </c>
      <c r="F43" s="11" t="s">
        <v>97</v>
      </c>
    </row>
    <row r="44" spans="1:8" ht="16" x14ac:dyDescent="0.2">
      <c r="A44" s="1" t="s">
        <v>96</v>
      </c>
      <c r="B44" s="10">
        <v>0.89236111111111116</v>
      </c>
      <c r="C44" s="10">
        <f>IF(OR(Kjoreplan2026[[#This Row],[Start]]="",Kjoreplan2026[[#This Row],[Varighet]]=""),"",Kjoreplan2026[[#This Row],[Start]]+Kjoreplan2026[[#This Row],[Varighet]])</f>
        <v>0.89583333333333337</v>
      </c>
      <c r="D44" s="8">
        <v>3.472222222222222E-3</v>
      </c>
      <c r="E44" s="1" t="s">
        <v>98</v>
      </c>
      <c r="F44" s="11" t="s">
        <v>99</v>
      </c>
      <c r="G44" s="11" t="s">
        <v>100</v>
      </c>
    </row>
    <row r="45" spans="1:8" x14ac:dyDescent="0.2">
      <c r="A45" s="1"/>
      <c r="B45" s="10" t="str" cm="1">
        <f t="array" ref="B45">IF(Kjoreplan2026[[#This Row],[Post]]="","",IF(ROW()=ROW(Kjoreplan2026[#Headers])+1,TIME(12,0,0),INDEX(C:C,ROW()-1)))</f>
        <v/>
      </c>
      <c r="C45" s="10" t="str">
        <f>IF(OR(Kjoreplan2026[[#This Row],[Start]]="",Kjoreplan2026[[#This Row],[Varighet]]=""),"",Kjoreplan2026[[#This Row],[Start]]+Kjoreplan2026[[#This Row],[Varighet]])</f>
        <v/>
      </c>
      <c r="D45" s="8">
        <v>0.34027777777777801</v>
      </c>
      <c r="E45" s="1"/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d1aaf9-0180-4036-9a4c-5d5876a1e06d">
      <Terms xmlns="http://schemas.microsoft.com/office/infopath/2007/PartnerControls"/>
    </lcf76f155ced4ddcb4097134ff3c332f>
    <TaxCatchAll xmlns="454e05f6-a9d6-4bbb-9fd1-3eeb1e7429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6EEEE7BE855F4FBDEBCFA907D713C9" ma:contentTypeVersion="16" ma:contentTypeDescription="Opprett et nytt dokument." ma:contentTypeScope="" ma:versionID="54483e318f95b5644cbe32598bda00fa">
  <xsd:schema xmlns:xsd="http://www.w3.org/2001/XMLSchema" xmlns:xs="http://www.w3.org/2001/XMLSchema" xmlns:p="http://schemas.microsoft.com/office/2006/metadata/properties" xmlns:ns2="93d1aaf9-0180-4036-9a4c-5d5876a1e06d" xmlns:ns3="454e05f6-a9d6-4bbb-9fd1-3eeb1e7429d6" targetNamespace="http://schemas.microsoft.com/office/2006/metadata/properties" ma:root="true" ma:fieldsID="3ec3fe84326aba2a491287d17fd81f3b" ns2:_="" ns3:_="">
    <xsd:import namespace="93d1aaf9-0180-4036-9a4c-5d5876a1e06d"/>
    <xsd:import namespace="454e05f6-a9d6-4bbb-9fd1-3eeb1e7429d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1aaf9-0180-4036-9a4c-5d5876a1e06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emerkelapper" ma:readOnly="false" ma:fieldId="{5cf76f15-5ced-4ddc-b409-7134ff3c332f}" ma:taxonomyMulti="true" ma:sspId="6a379ee0-c3cf-4aff-84f7-916ac219c5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e05f6-a9d6-4bbb-9fd1-3eeb1e7429d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418ea91-3564-43b9-8fe1-ef33fb7ac65a}" ma:internalName="TaxCatchAll" ma:showField="CatchAllData" ma:web="454e05f6-a9d6-4bbb-9fd1-3eeb1e742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811584-5FB5-4A92-A3A3-0B5478BC4ED5}">
  <ds:schemaRefs>
    <ds:schemaRef ds:uri="http://schemas.microsoft.com/office/2006/documentManagement/types"/>
    <ds:schemaRef ds:uri="454e05f6-a9d6-4bbb-9fd1-3eeb1e7429d6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93d1aaf9-0180-4036-9a4c-5d5876a1e06d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361CBC9-C987-4F53-9943-60AB602252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774569-B6EA-4237-9B1E-12EA801843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d1aaf9-0180-4036-9a4c-5d5876a1e06d"/>
    <ds:schemaRef ds:uri="454e05f6-a9d6-4bbb-9fd1-3eeb1e7429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259e6e3-2afb-469f-a0df-b995253cdc93}" enabled="1" method="Privileged" siteId="{c317fa72-b393-44ea-a87c-ea272e8d96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>Bouvet ASA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Miriam Skår</dc:creator>
  <cp:keywords/>
  <dc:description/>
  <cp:lastModifiedBy>Martin Underhaug</cp:lastModifiedBy>
  <cp:revision/>
  <dcterms:created xsi:type="dcterms:W3CDTF">2025-08-27T14:00:31Z</dcterms:created>
  <dcterms:modified xsi:type="dcterms:W3CDTF">2026-09-23T17:52:49Z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0x0101008F6EEEE7BE855F4FBDEBCFA907D713C9</vt:lpwstr>
  </property>
  <property fmtid="{D5CDD505-2E9C-101B-9397-08002B2CF9AE}" pid="3" name="MediaServiceImageTags">
    <vt:lpwstr/>
  </property>
</Properties>
</file>